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31818ec595d79/Desktop/"/>
    </mc:Choice>
  </mc:AlternateContent>
  <xr:revisionPtr revIDLastSave="0" documentId="13_ncr:1_{7874AF17-E7E1-4FC7-BE83-F3D6AAA68395}" xr6:coauthVersionLast="47" xr6:coauthVersionMax="47" xr10:uidLastSave="{00000000-0000-0000-0000-000000000000}"/>
  <bookViews>
    <workbookView xWindow="-108" yWindow="-108" windowWidth="23256" windowHeight="12456" activeTab="3" xr2:uid="{BF98852D-1273-4439-AD43-E0D1F7D5BF48}"/>
  </bookViews>
  <sheets>
    <sheet name="Sheet1" sheetId="1" r:id="rId1"/>
    <sheet name="Pavithra" sheetId="2" r:id="rId2"/>
    <sheet name="Sheet2" sheetId="3" r:id="rId3"/>
    <sheet name="Money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9" i="3" l="1"/>
  <c r="E13" i="3"/>
  <c r="E15" i="3" s="1"/>
  <c r="L11" i="3" s="1"/>
  <c r="S16" i="3"/>
  <c r="S14" i="3"/>
  <c r="E12" i="3"/>
  <c r="S12" i="3"/>
  <c r="L7" i="3"/>
  <c r="K8" i="1"/>
  <c r="K6" i="1"/>
  <c r="D24" i="1"/>
  <c r="D20" i="1"/>
  <c r="P24" i="1"/>
  <c r="Q18" i="1"/>
  <c r="D15" i="1"/>
  <c r="D13" i="1"/>
  <c r="D11" i="1"/>
  <c r="D7" i="1"/>
</calcChain>
</file>

<file path=xl/sharedStrings.xml><?xml version="1.0" encoding="utf-8"?>
<sst xmlns="http://schemas.openxmlformats.org/spreadsheetml/2006/main" count="58" uniqueCount="50">
  <si>
    <t>Loan amount</t>
  </si>
  <si>
    <t>Transferred</t>
  </si>
  <si>
    <t>Balance</t>
  </si>
  <si>
    <t>1st EMI</t>
  </si>
  <si>
    <t>Jan</t>
  </si>
  <si>
    <t>2nd EMI</t>
  </si>
  <si>
    <t>Feb</t>
  </si>
  <si>
    <t>7th every month</t>
  </si>
  <si>
    <t>Current balance</t>
  </si>
  <si>
    <t>Dec</t>
  </si>
  <si>
    <t>Nov</t>
  </si>
  <si>
    <t>Oct</t>
  </si>
  <si>
    <t>July</t>
  </si>
  <si>
    <t>Started</t>
  </si>
  <si>
    <t>3 EMI</t>
  </si>
  <si>
    <t>Mar</t>
  </si>
  <si>
    <t>Transfer</t>
  </si>
  <si>
    <t>Foreclosure amt</t>
  </si>
  <si>
    <t>Repay</t>
  </si>
  <si>
    <t>FINAL</t>
  </si>
  <si>
    <t>Extra paid</t>
  </si>
  <si>
    <t>Total loan amt paid</t>
  </si>
  <si>
    <t>FG Insurance</t>
  </si>
  <si>
    <t>LIC insurance</t>
  </si>
  <si>
    <t>Jewel</t>
  </si>
  <si>
    <t>FD</t>
  </si>
  <si>
    <t>Savings</t>
  </si>
  <si>
    <t>Total</t>
  </si>
  <si>
    <t>Car</t>
  </si>
  <si>
    <t>Bike</t>
  </si>
  <si>
    <t>Sofa</t>
  </si>
  <si>
    <t>TV</t>
  </si>
  <si>
    <t>Mobile</t>
  </si>
  <si>
    <t>School fees</t>
  </si>
  <si>
    <t xml:space="preserve">Trading </t>
  </si>
  <si>
    <t>Goa</t>
  </si>
  <si>
    <t>UPS</t>
  </si>
  <si>
    <t>Dental clinic</t>
  </si>
  <si>
    <t>Chennai</t>
  </si>
  <si>
    <t>car service</t>
  </si>
  <si>
    <t>Parking</t>
  </si>
  <si>
    <t>FGC insurance</t>
  </si>
  <si>
    <t>Sister</t>
  </si>
  <si>
    <t>Speaker</t>
  </si>
  <si>
    <t>Car FC</t>
  </si>
  <si>
    <t>Son Bike</t>
  </si>
  <si>
    <t>Laptop</t>
  </si>
  <si>
    <t>AC</t>
  </si>
  <si>
    <t>Thaseen</t>
  </si>
  <si>
    <t>Pavithra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</si>
</sst>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7" fontId="0" fillId="0" borderId="0" xfId="0" applyNumberFormat="1"/>
    <xf numFmtId="0" fontId="3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AECB-E4C8-42B3-9D65-5D5753D3871D}">
  <dimension ref="A2:Q24"/>
  <sheetViews>
    <sheetView workbookViewId="0">
      <selection activeCell="H21" sqref="H21"/>
    </sheetView>
  </sheetViews>
  <sheetFormatPr defaultRowHeight="14.4" x14ac:dyDescent="0.3"/>
  <cols>
    <col min="1" max="1" width="22.44140625" customWidth="1"/>
    <col min="8" max="8" width="20.88671875" customWidth="1"/>
  </cols>
  <sheetData>
    <row r="2" spans="1:11" x14ac:dyDescent="0.3">
      <c r="A2" s="1" t="s">
        <v>0</v>
      </c>
      <c r="B2" s="1"/>
      <c r="C2" s="1"/>
      <c r="D2" s="1">
        <v>595371</v>
      </c>
    </row>
    <row r="5" spans="1:11" x14ac:dyDescent="0.3">
      <c r="A5" t="s">
        <v>1</v>
      </c>
      <c r="D5">
        <v>565000</v>
      </c>
    </row>
    <row r="6" spans="1:11" x14ac:dyDescent="0.3">
      <c r="H6" s="1" t="s">
        <v>21</v>
      </c>
      <c r="I6" s="1"/>
      <c r="J6" s="1"/>
      <c r="K6" s="1">
        <f>D17+D9+D10+D12</f>
        <v>644295</v>
      </c>
    </row>
    <row r="7" spans="1:11" x14ac:dyDescent="0.3">
      <c r="A7" t="s">
        <v>2</v>
      </c>
      <c r="D7" s="1">
        <f>D2-D5</f>
        <v>30371</v>
      </c>
    </row>
    <row r="8" spans="1:11" x14ac:dyDescent="0.3">
      <c r="B8" t="s">
        <v>7</v>
      </c>
      <c r="H8" s="1" t="s">
        <v>20</v>
      </c>
      <c r="I8" s="1"/>
      <c r="J8" s="1"/>
      <c r="K8" s="1">
        <f>K6-D2</f>
        <v>48924</v>
      </c>
    </row>
    <row r="9" spans="1:11" x14ac:dyDescent="0.3">
      <c r="A9" t="s">
        <v>3</v>
      </c>
      <c r="B9" t="s">
        <v>4</v>
      </c>
      <c r="D9">
        <v>12508</v>
      </c>
    </row>
    <row r="10" spans="1:11" x14ac:dyDescent="0.3">
      <c r="A10" t="s">
        <v>5</v>
      </c>
      <c r="B10" t="s">
        <v>6</v>
      </c>
      <c r="D10">
        <v>13060</v>
      </c>
    </row>
    <row r="11" spans="1:11" x14ac:dyDescent="0.3">
      <c r="D11">
        <f>D9+D10</f>
        <v>25568</v>
      </c>
    </row>
    <row r="12" spans="1:11" x14ac:dyDescent="0.3">
      <c r="A12" t="s">
        <v>14</v>
      </c>
      <c r="B12" t="s">
        <v>15</v>
      </c>
      <c r="D12">
        <v>13060</v>
      </c>
    </row>
    <row r="13" spans="1:11" x14ac:dyDescent="0.3">
      <c r="A13" t="s">
        <v>8</v>
      </c>
      <c r="D13">
        <f>D7-D11</f>
        <v>4803</v>
      </c>
    </row>
    <row r="15" spans="1:11" x14ac:dyDescent="0.3">
      <c r="A15" t="s">
        <v>2</v>
      </c>
      <c r="D15" s="2">
        <f>D12-D13</f>
        <v>8257</v>
      </c>
    </row>
    <row r="17" spans="1:17" x14ac:dyDescent="0.3">
      <c r="A17" t="s">
        <v>17</v>
      </c>
      <c r="D17">
        <v>605667</v>
      </c>
      <c r="K17">
        <v>577184</v>
      </c>
      <c r="N17">
        <v>4</v>
      </c>
    </row>
    <row r="18" spans="1:17" x14ac:dyDescent="0.3">
      <c r="A18" t="s">
        <v>16</v>
      </c>
      <c r="D18">
        <v>1000000</v>
      </c>
      <c r="N18">
        <v>27243</v>
      </c>
      <c r="Q18">
        <f>K17*4%</f>
        <v>23087.360000000001</v>
      </c>
    </row>
    <row r="20" spans="1:17" x14ac:dyDescent="0.3">
      <c r="A20" t="s">
        <v>2</v>
      </c>
      <c r="D20">
        <f>D18-D17-D15</f>
        <v>386076</v>
      </c>
    </row>
    <row r="21" spans="1:17" x14ac:dyDescent="0.3">
      <c r="A21" t="s">
        <v>18</v>
      </c>
      <c r="D21">
        <v>100000</v>
      </c>
    </row>
    <row r="23" spans="1:17" x14ac:dyDescent="0.3">
      <c r="N23">
        <v>605667</v>
      </c>
    </row>
    <row r="24" spans="1:17" x14ac:dyDescent="0.3">
      <c r="A24" s="3" t="s">
        <v>19</v>
      </c>
      <c r="B24" s="3"/>
      <c r="C24" s="3"/>
      <c r="D24" s="3">
        <f>D20-D21</f>
        <v>286076</v>
      </c>
      <c r="N24">
        <v>606027</v>
      </c>
      <c r="P24">
        <f>N24-N23</f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2A43-0366-4D41-B3D3-B0833AEF43B8}">
  <dimension ref="A5:C12"/>
  <sheetViews>
    <sheetView workbookViewId="0">
      <selection activeCell="J22" sqref="J22"/>
    </sheetView>
  </sheetViews>
  <sheetFormatPr defaultRowHeight="14.4" x14ac:dyDescent="0.3"/>
  <sheetData>
    <row r="5" spans="1:3" x14ac:dyDescent="0.3">
      <c r="A5" t="s">
        <v>6</v>
      </c>
      <c r="C5">
        <v>2900</v>
      </c>
    </row>
    <row r="6" spans="1:3" x14ac:dyDescent="0.3">
      <c r="A6" t="s">
        <v>9</v>
      </c>
      <c r="C6">
        <v>2900</v>
      </c>
    </row>
    <row r="7" spans="1:3" x14ac:dyDescent="0.3">
      <c r="A7" t="s">
        <v>10</v>
      </c>
      <c r="C7">
        <v>2900</v>
      </c>
    </row>
    <row r="8" spans="1:3" x14ac:dyDescent="0.3">
      <c r="A8" t="s">
        <v>11</v>
      </c>
      <c r="C8">
        <v>2900</v>
      </c>
    </row>
    <row r="12" spans="1:3" x14ac:dyDescent="0.3">
      <c r="A12" t="s">
        <v>12</v>
      </c>
      <c r="B1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35AA-EFBE-4A11-AAF6-CCBACF3623BD}">
  <dimension ref="C2:S19"/>
  <sheetViews>
    <sheetView workbookViewId="0">
      <selection activeCell="S16" sqref="S16"/>
    </sheetView>
  </sheetViews>
  <sheetFormatPr defaultRowHeight="14.4" x14ac:dyDescent="0.3"/>
  <cols>
    <col min="3" max="3" width="13.5546875" customWidth="1"/>
    <col min="12" max="12" width="11.88671875" customWidth="1"/>
    <col min="17" max="17" width="12.6640625" customWidth="1"/>
  </cols>
  <sheetData>
    <row r="2" spans="3:19" x14ac:dyDescent="0.3">
      <c r="Q2" t="s">
        <v>47</v>
      </c>
      <c r="S2">
        <v>25000</v>
      </c>
    </row>
    <row r="3" spans="3:19" x14ac:dyDescent="0.3">
      <c r="Q3" t="s">
        <v>46</v>
      </c>
      <c r="S3">
        <v>62000</v>
      </c>
    </row>
    <row r="4" spans="3:19" x14ac:dyDescent="0.3">
      <c r="C4" t="s">
        <v>44</v>
      </c>
      <c r="E4">
        <v>18000</v>
      </c>
      <c r="Q4" t="s">
        <v>45</v>
      </c>
      <c r="S4">
        <v>6000</v>
      </c>
    </row>
    <row r="5" spans="3:19" x14ac:dyDescent="0.3">
      <c r="C5" t="s">
        <v>22</v>
      </c>
      <c r="E5">
        <v>200000</v>
      </c>
      <c r="G5" t="s">
        <v>34</v>
      </c>
      <c r="H5">
        <v>150000</v>
      </c>
      <c r="J5" t="s">
        <v>25</v>
      </c>
      <c r="L5">
        <v>300000</v>
      </c>
      <c r="Q5" t="s">
        <v>28</v>
      </c>
      <c r="S5">
        <v>320000</v>
      </c>
    </row>
    <row r="6" spans="3:19" x14ac:dyDescent="0.3">
      <c r="C6" t="s">
        <v>23</v>
      </c>
      <c r="E6">
        <v>115000</v>
      </c>
      <c r="J6" t="s">
        <v>26</v>
      </c>
      <c r="L6">
        <v>1000000</v>
      </c>
      <c r="Q6" t="s">
        <v>29</v>
      </c>
      <c r="S6">
        <v>125000</v>
      </c>
    </row>
    <row r="7" spans="3:19" x14ac:dyDescent="0.3">
      <c r="C7" t="s">
        <v>24</v>
      </c>
      <c r="E7">
        <v>220000</v>
      </c>
      <c r="J7" t="s">
        <v>27</v>
      </c>
      <c r="L7">
        <f>L6+L5</f>
        <v>1300000</v>
      </c>
      <c r="Q7" t="s">
        <v>30</v>
      </c>
      <c r="S7">
        <v>35000</v>
      </c>
    </row>
    <row r="8" spans="3:19" x14ac:dyDescent="0.3">
      <c r="C8" t="s">
        <v>36</v>
      </c>
      <c r="E8">
        <v>10000</v>
      </c>
      <c r="Q8" t="s">
        <v>31</v>
      </c>
      <c r="S8">
        <v>25000</v>
      </c>
    </row>
    <row r="9" spans="3:19" x14ac:dyDescent="0.3">
      <c r="C9" t="s">
        <v>33</v>
      </c>
      <c r="E9">
        <v>65000</v>
      </c>
      <c r="Q9" t="s">
        <v>32</v>
      </c>
      <c r="S9">
        <v>50000</v>
      </c>
    </row>
    <row r="10" spans="3:19" x14ac:dyDescent="0.3">
      <c r="C10" t="s">
        <v>37</v>
      </c>
      <c r="E10">
        <v>8000</v>
      </c>
      <c r="Q10" t="s">
        <v>24</v>
      </c>
      <c r="S10">
        <v>200000</v>
      </c>
    </row>
    <row r="11" spans="3:19" x14ac:dyDescent="0.3">
      <c r="C11" t="s">
        <v>38</v>
      </c>
      <c r="E11">
        <v>15000</v>
      </c>
      <c r="L11">
        <f>L7-E15</f>
        <v>472600</v>
      </c>
      <c r="Q11" t="s">
        <v>35</v>
      </c>
      <c r="S11">
        <v>50000</v>
      </c>
    </row>
    <row r="12" spans="3:19" x14ac:dyDescent="0.3">
      <c r="C12" t="s">
        <v>40</v>
      </c>
      <c r="E12">
        <f>1700*12+500*12</f>
        <v>26400</v>
      </c>
      <c r="Q12" t="s">
        <v>33</v>
      </c>
      <c r="S12">
        <f>45000*3</f>
        <v>135000</v>
      </c>
    </row>
    <row r="13" spans="3:19" x14ac:dyDescent="0.3">
      <c r="E13">
        <f>SUM(E4:E12)</f>
        <v>677400</v>
      </c>
      <c r="Q13" t="s">
        <v>39</v>
      </c>
      <c r="S13">
        <v>50000</v>
      </c>
    </row>
    <row r="14" spans="3:19" x14ac:dyDescent="0.3">
      <c r="Q14" t="s">
        <v>23</v>
      </c>
      <c r="S14">
        <f>23000*4*4</f>
        <v>368000</v>
      </c>
    </row>
    <row r="15" spans="3:19" x14ac:dyDescent="0.3">
      <c r="C15" t="s">
        <v>27</v>
      </c>
      <c r="E15">
        <f>E13+H5</f>
        <v>827400</v>
      </c>
      <c r="Q15" t="s">
        <v>41</v>
      </c>
      <c r="S15">
        <v>600000</v>
      </c>
    </row>
    <row r="16" spans="3:19" x14ac:dyDescent="0.3">
      <c r="Q16" t="s">
        <v>42</v>
      </c>
      <c r="S16">
        <f>5000*12*3</f>
        <v>180000</v>
      </c>
    </row>
    <row r="17" spans="17:19" x14ac:dyDescent="0.3">
      <c r="Q17" t="s">
        <v>43</v>
      </c>
      <c r="S17">
        <v>8000</v>
      </c>
    </row>
    <row r="19" spans="17:19" x14ac:dyDescent="0.3">
      <c r="Q19" t="s">
        <v>27</v>
      </c>
      <c r="S19">
        <f>SUM(S2:S17)</f>
        <v>2239000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3610-03F1-4E3A-AE5E-E1D4ABDCF5C9}">
  <dimension ref="A3:M4"/>
  <sheetViews>
    <sheetView tabSelected="1" workbookViewId="0">
      <selection activeCell="M3" sqref="M3"/>
    </sheetView>
  </sheetViews>
  <sheetFormatPr defaultRowHeight="14.4" x14ac:dyDescent="0.3"/>
  <cols>
    <col min="1" max="1" width="10.88671875" customWidth="1"/>
  </cols>
  <sheetData>
    <row r="3" spans="1:13" x14ac:dyDescent="0.3">
      <c r="A3" t="s">
        <v>48</v>
      </c>
      <c r="C3" s="6">
        <v>10000</v>
      </c>
      <c r="E3" s="4">
        <v>46082</v>
      </c>
      <c r="I3" t="s">
        <v>49</v>
      </c>
      <c r="K3" s="1">
        <v>15000</v>
      </c>
      <c r="M3" s="4">
        <v>46143</v>
      </c>
    </row>
    <row r="4" spans="1:13" x14ac:dyDescent="0.3">
      <c r="C4" s="6">
        <v>10000</v>
      </c>
      <c r="D4" s="5"/>
      <c r="E4" s="4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Pavithra</vt:lpstr>
      <vt:lpstr>Sheet2</vt:lpstr>
      <vt:lpstr>Money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Loganath D</dc:creator>
  <cp:lastModifiedBy>Loganath D</cp:lastModifiedBy>
  <dcterms:created xsi:type="dcterms:W3CDTF">2026-02-12T07:56:11Z</dcterms:created>
  <dcterms:modified xsi:type="dcterms:W3CDTF">2026-06-25T05:24:26Z</dcterms:modified>
</cp:coreProperties>
</file>